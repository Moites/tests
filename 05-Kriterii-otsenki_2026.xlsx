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C:\Users\MO1TE\Desktop\test\"/>
    </mc:Choice>
  </mc:AlternateContent>
  <xr:revisionPtr revIDLastSave="0" documentId="13_ncr:1_{01559607-912E-4496-A089-832C43C949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ритерии оценки" sheetId="1" r:id="rId1"/>
    <sheet name="Перечень профессиональных задач" sheetId="2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" l="1"/>
  <c r="I106" i="1"/>
  <c r="I90" i="1"/>
  <c r="I65" i="1"/>
  <c r="I36" i="1"/>
  <c r="I125" i="1" l="1"/>
</calcChain>
</file>

<file path=xl/sharedStrings.xml><?xml version="1.0" encoding="utf-8"?>
<sst xmlns="http://schemas.openxmlformats.org/spreadsheetml/2006/main" count="226" uniqueCount="136">
  <si>
    <t>Мероприятие</t>
  </si>
  <si>
    <t>Наименование компетенции</t>
  </si>
  <si>
    <t>Машинное обучение и большие данные</t>
  </si>
  <si>
    <t>Код</t>
  </si>
  <si>
    <t>Субкритерий</t>
  </si>
  <si>
    <t>Тип аспекта</t>
  </si>
  <si>
    <t>Аспект</t>
  </si>
  <si>
    <t>Судейский балл</t>
  </si>
  <si>
    <t>Методика проверки аспекта</t>
  </si>
  <si>
    <t>Требование или номинальный размер</t>
  </si>
  <si>
    <t>Проф. задача</t>
  </si>
  <si>
    <t>Макс. балл</t>
  </si>
  <si>
    <t>А</t>
  </si>
  <si>
    <t>Сбор и предварительная обработка данных</t>
  </si>
  <si>
    <t>Отчет содержательный, выполнен непрофессионально</t>
  </si>
  <si>
    <t>Отчет содержательный и выполнен профессионально</t>
  </si>
  <si>
    <t>Загрузка данных - модуль А</t>
  </si>
  <si>
    <t>И</t>
  </si>
  <si>
    <t>Отчет выполнен на высшем профессиональном уровне</t>
  </si>
  <si>
    <t>В</t>
  </si>
  <si>
    <t>Моделирование и прогнозирование</t>
  </si>
  <si>
    <t>Обучение модели - модуль В</t>
  </si>
  <si>
    <t>Формирование набора данных - модуль А</t>
  </si>
  <si>
    <t>Непрерывное обучение - модуль В</t>
  </si>
  <si>
    <t>Предобработка данных и выделение значимых атрибутов - модуль А</t>
  </si>
  <si>
    <t>Реализован механизм дообучения модели при поступлении новых данных</t>
  </si>
  <si>
    <t>Описание структуры набора данных - модуль А</t>
  </si>
  <si>
    <t>Версии моделей сохраняются и логируются изменения</t>
  </si>
  <si>
    <t>Прогнозирование - модуль В</t>
  </si>
  <si>
    <t>Расширение набора данных - модуль А</t>
  </si>
  <si>
    <t>Подготовка отчетов - модуль В</t>
  </si>
  <si>
    <t>Отчет присутствует</t>
  </si>
  <si>
    <t>Подготовка отчетов - модуль А</t>
  </si>
  <si>
    <t>С</t>
  </si>
  <si>
    <t>Отчет отсутствует или несодержательный</t>
  </si>
  <si>
    <t>Представлен отчёт, содержащий описание реализованного функционала агентов, обоснование выбранных подходов к сбору и предобработке данных, примеры полученного контента, описание структуры базы данных, форматы итоговых файлов и примеры записей из сформированного набора данных.</t>
  </si>
  <si>
    <t>Г</t>
  </si>
  <si>
    <t>Интеграция и взаимодействие</t>
  </si>
  <si>
    <t>Б</t>
  </si>
  <si>
    <t>Анализ и визуализация данных</t>
  </si>
  <si>
    <t>Разработка API - модуль Г</t>
  </si>
  <si>
    <t>Построение аналитической системы - модуль Б</t>
  </si>
  <si>
    <r>
      <rPr>
        <sz val="11"/>
        <color rgb="FF000000"/>
        <rFont val="Calibri"/>
      </rPr>
      <t xml:space="preserve">Реализован интерактивный дашборд </t>
    </r>
    <r>
      <rPr>
        <sz val="11"/>
        <color rgb="FF000000"/>
        <rFont val="Calibri"/>
      </rPr>
      <t xml:space="preserve">для анализа </t>
    </r>
    <r>
      <rPr>
        <sz val="11"/>
        <color rgb="FF000000"/>
        <rFont val="Calibri"/>
      </rPr>
      <t>учебных материалов</t>
    </r>
  </si>
  <si>
    <t>Дашборд для отображения использует данные из базы данных</t>
  </si>
  <si>
    <r>
      <rPr>
        <sz val="11"/>
        <color rgb="FF000000"/>
        <rFont val="Calibri"/>
      </rPr>
      <t>Дашборд обеспечивает</t>
    </r>
    <r>
      <rPr>
        <sz val="11"/>
        <color rgb="FF000000"/>
        <rFont val="Calibri"/>
      </rPr>
      <t xml:space="preserve"> регулярное обновление отображаемых данных из базы данных</t>
    </r>
  </si>
  <si>
    <t>Функционал аналитической симстемы - модуль Б</t>
  </si>
  <si>
    <t>Программная документация – модуль Г</t>
  </si>
  <si>
    <t>Документация API представлена в формате Markdown/PDF и содержит эндпоинты, форматы и примеры запросов/ответов</t>
  </si>
  <si>
    <t>Разметка данных - модуль Б</t>
  </si>
  <si>
    <t>Д</t>
  </si>
  <si>
    <t>Демонстрация и сопровождение</t>
  </si>
  <si>
    <t>Комплексная документация – модуль Д</t>
  </si>
  <si>
    <t>Создана документация по всей системе, содержащая архитектуру, роли агентов, схему взаимодействия, технологии, структуру проекта</t>
  </si>
  <si>
    <t>Оценка качества разметки – модуль Б</t>
  </si>
  <si>
    <t>Документация позволяет стороннему специалисту развернуть систему без пояснений</t>
  </si>
  <si>
    <t>Демонстрация – модуль Д</t>
  </si>
  <si>
    <t>Демонстрация не превышает 10 минут</t>
  </si>
  <si>
    <t>Демонстрация выполнена профессионально</t>
  </si>
  <si>
    <t>Подготовка отчетов - модуль Б</t>
  </si>
  <si>
    <t>Не создана или не соответствует профессиональным отраслевым стандартам</t>
  </si>
  <si>
    <t>Соответствует профессиональному стандарту</t>
  </si>
  <si>
    <t>Соответствует индустриальному стандарту</t>
  </si>
  <si>
    <t>Соответствует профессиональному стандарту и выглядит превосходно</t>
  </si>
  <si>
    <t>Файлы окружения и запуска – все модули</t>
  </si>
  <si>
    <t>Итого:</t>
  </si>
  <si>
    <t>Перечень профессиональных задач</t>
  </si>
  <si>
    <t>Планирование и коммуникация</t>
  </si>
  <si>
    <t>Подготовка данных</t>
  </si>
  <si>
    <t>Аналитика и моделирование</t>
  </si>
  <si>
    <t>Разработка программных решений</t>
  </si>
  <si>
    <t>Сервисы и интеграция</t>
  </si>
  <si>
    <t>Охрана труда</t>
  </si>
  <si>
    <t>Бережливое производство</t>
  </si>
  <si>
    <t>Обучена модель для классификации учебных материалов по возможности совместного (параллельного изучения)</t>
  </si>
  <si>
    <t>Обучена модель для определения возможности последовательного изучения материалов</t>
  </si>
  <si>
    <t>Обучена модель для определения уровня сложности освоения материала</t>
  </si>
  <si>
    <t>Для каждой модели рассмотрено не менее трех методов классификации и обоснован выбор алгоритма</t>
  </si>
  <si>
    <t>Предусмотрено полное переобучение модели при необходимости</t>
  </si>
  <si>
    <t>Агент способен оценить время освоения каждого учебного материала, предмета/дисциплины, набора предметов/дисциплин с учётом возможности совместного (параллельного) изучения, последовательного изучения и уровня сложности материалов</t>
  </si>
  <si>
    <t>Присутствует визуализация временных характеристик</t>
  </si>
  <si>
    <t>Построение рекомендаций- модуль В</t>
  </si>
  <si>
    <t>Агент визуализирует траектории обучения для пользователя</t>
  </si>
  <si>
    <t>Агент запрашивает сведения от пользователя в качестве входных данных</t>
  </si>
  <si>
    <t>Отчёт выполнен профессионально: описание выбранной модели, обоснование её преимуществ, результаты тестирования, схему непрерывного обучения и визуализацию оценок и рекомендаций, пути к файлам</t>
  </si>
  <si>
    <t>API поддерживает все необходимые запросы</t>
  </si>
  <si>
    <t>API загружает предобученные модели и не обучает их заново</t>
  </si>
  <si>
    <t>API валидирует входные данные</t>
  </si>
  <si>
    <t>Документация приложения представлена в формате Markdown/PDF и содержит описание интерфейса, схему работы</t>
  </si>
  <si>
    <t>Интегрированное приложение показывает оценку учебного материала по критериям на соответствие методическим рекомендациям</t>
  </si>
  <si>
    <t>Интегрированное приложение определяет возможность последовательного изучения материалов</t>
  </si>
  <si>
    <t>Интегрированное приложение определяет уровень сложности освоения учебных материалов</t>
  </si>
  <si>
    <t>Интеграция приложения - модуль Г</t>
  </si>
  <si>
    <t>Интегрированное приложение оценивает время освоения учебного материала, предмета (дисциплины) или набора предметов (дисциплин)</t>
  </si>
  <si>
    <t>Интегрированное приложение строит индивидуальную траекторию изучения материалов по заданным параметрам</t>
  </si>
  <si>
    <t>Наличие README с инструкцией запуску и использованию</t>
  </si>
  <si>
    <t>Все скрипты запускаются одной командой/открытием исполняемого файла</t>
  </si>
  <si>
    <t xml:space="preserve">Агенты не требуют установки дополнительных библиотек и не устанавливают их сами </t>
  </si>
  <si>
    <t>Включены инструкции по запуску агентов</t>
  </si>
  <si>
    <t>Отчет присутствует по каждому модулю и информативен</t>
  </si>
  <si>
    <t>Исполняемый модуль, загружает учебные материалы по ссылкам, указанным в задании</t>
  </si>
  <si>
    <t>Для каждого загруженного материала формируется аналитическая запись, содержащая идентификационный номер, предмет (дисциплину), тему, текстовый материал, краткую аннотацию</t>
  </si>
  <si>
    <t>Агент выполняет обработку загруженных материалов и формирует вывод о соответствии материалов установленным методическим рекомендациям (вывод о допустимости использования)</t>
  </si>
  <si>
    <t>Все сформированные аналитические записи сохраняются в базе данных, при добавлении данных не создаются дублирующиеся записи</t>
  </si>
  <si>
    <t>При повторном запуске агент повторно проверяет источники данных, обновляет существующие записи или добавляет новые данные без создания дублирующихся записей</t>
  </si>
  <si>
    <t>Агент способен обработать все содержимое методических материалов (различные расширения файлов)</t>
  </si>
  <si>
    <t>Агент выполняет анализ медиаконтента учебных материалов (изображений и видеофрагментов) и формирует текстовые описания нетекстовых элементов, которые добавляются в итоговый набор данных</t>
  </si>
  <si>
    <t>Итоговый набор данных содержит: идентификационный номер, предмет (дисциплину), тему, текстовый материал, краткую аннотацию, итоговое заключение о допустимости или недопустимости использования материала</t>
  </si>
  <si>
    <t>Проведён анализ атрибутов учебных материалов с целью выявления наиболее значимых признаков, влияющих на схожесть материалов</t>
  </si>
  <si>
    <t>Для каждого учебного материала в наборе данных сформированы дополнительные признаки, отражающие наличие предыдущего и последующего учебного материала на основе анализа тематики материалов</t>
  </si>
  <si>
    <t>Для каждого атрибута набора данных приведено текстовое описание, включающее расшифровку признака, назначение атрибута и тип данных</t>
  </si>
  <si>
    <t>Определено количество уникальных значений признаков, рассчитана частота их встречаемости и выявлены наиболее распространённые значения</t>
  </si>
  <si>
    <t>Для текстовых полей определены основные характеристики текста (средняя, минимальная и максимальная длина записей, количество слов), результаты анализа представлены в виде сводных таблиц и графических визуализаций</t>
  </si>
  <si>
    <t>Агент анализирует набор данных и предлагает пользователю сгенерировать учебные материалы по темам, отсутствующим или недостаточно представленным в наборе данных, для обеспечения последовательности изучения дисциплины</t>
  </si>
  <si>
    <t>Агент, генерирует новые учебные материалы по теме, выбранной пользователем</t>
  </si>
  <si>
    <t>Все сгенерированные материалы тпроходят автоматическую модерацию и добавляются в базу данных и набор данных для дальнейшего исследования</t>
  </si>
  <si>
    <r>
      <t xml:space="preserve">Дашборд </t>
    </r>
    <r>
      <rPr>
        <sz val="11"/>
        <color rgb="FF000000"/>
        <rFont val="Calibri"/>
      </rPr>
      <t>поддерживает уровни доступа</t>
    </r>
  </si>
  <si>
    <t>Дашборд показывает уровень покрытия тем учебными материалами для предметов относительно среднего</t>
  </si>
  <si>
    <r>
      <t>Дашборд показывает д</t>
    </r>
    <r>
      <rPr>
        <sz val="11"/>
        <rFont val="Calibri"/>
      </rPr>
      <t>олю автоматически сгенерированных материалов для каждого предмета и для всех предметов в целом</t>
    </r>
  </si>
  <si>
    <r>
      <t xml:space="preserve">Дашборд показывает </t>
    </r>
    <r>
      <rPr>
        <sz val="11"/>
        <rFont val="Calibri"/>
      </rPr>
      <t>распределение материалов по типам занятий для каждого предмета и для всех предметов в целом</t>
    </r>
  </si>
  <si>
    <r>
      <t xml:space="preserve">Дашборд показывает </t>
    </r>
    <r>
      <rPr>
        <sz val="11"/>
        <rFont val="Calibri"/>
      </rPr>
      <t>обеспеченность требований методических рекомендаций по категориям</t>
    </r>
  </si>
  <si>
    <r>
      <t>Дашборд показывает в</t>
    </r>
    <r>
      <rPr>
        <sz val="11"/>
        <rFont val="Calibri"/>
      </rPr>
      <t>ыявление TOP наиболее/наименее выполняемых требований  для каждого предмета относительно среднего процента выполнения таких требований</t>
    </r>
  </si>
  <si>
    <r>
      <t xml:space="preserve">Дашборд показывает </t>
    </r>
    <r>
      <rPr>
        <sz val="11"/>
        <rFont val="Calibri"/>
      </rPr>
      <t>выявление наиболее/наименее выполняемых требований для исходных и автоматически сгенерированных учебных материалов</t>
    </r>
  </si>
  <si>
    <t>Выявлены классы (кластеры) учебных материалов, подходящие для совместного (параллельного изучения). Обоснован выбор метода разметки</t>
  </si>
  <si>
    <t>Выявлены классы (кластеры) учебных материалов, подходящие для последовательного изучения. Обоснован выбор метода разметки</t>
  </si>
  <si>
    <t xml:space="preserve"> Учебные материалы сгруппированы по сложности освоения. Обоснован метод группировки</t>
  </si>
  <si>
    <t>Проведена оценка качества кластеризации с помощью метрик</t>
  </si>
  <si>
    <t>Выполнен визуальный анализ кластеров для оценки качества кластеризации</t>
  </si>
  <si>
    <t>Сделан вывод о качестве разметки данных на основе вычисленных метрик и визуального анализа кластеров</t>
  </si>
  <si>
    <t>Отчёт выполнен профессионально: описание реализованного агента и процесса разметки набора данных, используемые инструменты, примеры визуализаций, результаты кластеризации и выводы по качеству разметки</t>
  </si>
  <si>
    <t>Контролируется дрейф данных (например, через Evidently)</t>
  </si>
  <si>
    <t>Приложение, использующее разработанное API, интегрировано в общедоступную социальную сеть/мессенджер</t>
  </si>
  <si>
    <t>Демонстрация включает полный цикл работы системы (сбор данных, анализ, модель, API, приложение)</t>
  </si>
  <si>
    <t>Итоговый (Межрегиональный) этап Чемпионата по профессиональному мастерству "Профессионалы" в 2026 г</t>
  </si>
  <si>
    <t>нет</t>
  </si>
  <si>
    <t>0.5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</si>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</sst>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theme="1" tint="0.499984740745262"/>
      <name val="Calibri"/>
      <scheme val="minor"/>
    </font>
    <font>
      <b/>
      <sz val="12"/>
      <color theme="1"/>
      <name val="Calibri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scheme val="minor"/>
    </font>
    <font>
      <b/>
      <sz val="14"/>
      <color theme="1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</font>
    <font>
      <b/>
      <sz val="12"/>
      <color theme="0"/>
      <name val="Calibri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0"/>
      </patternFill>
    </fill>
    <fill>
      <patternFill patternType="solid">
        <fgColor theme="8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Fill="0" applyBorder="0"/>
  </cellStyleXfs>
  <cellXfs count="48">
    <xf numFmtId="0" fontId="4" fillId="0" borderId="0" xfId="0" applyFont="1"/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5" fillId="0" borderId="1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vertical="center" wrapText="1"/>
    </xf>
    <xf numFmtId="2" fontId="9" fillId="3" borderId="0" xfId="0" applyNumberFormat="1" applyFont="1" applyFill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2" fontId="11" fillId="0" borderId="1" xfId="0" applyNumberFormat="1" applyFont="1" applyBorder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9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vertical="center" wrapText="1"/>
    </xf>
    <xf numFmtId="2" fontId="9" fillId="5" borderId="0" xfId="0" applyNumberFormat="1" applyFont="1" applyFill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justify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2" fontId="9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25"/>
  <sheetViews>
    <sheetView tabSelected="1" topLeftCell="A31" zoomScale="80" zoomScaleNormal="80" workbookViewId="0">
      <selection activeCell="D41" sqref="D41"/>
    </sheetView>
  </sheetViews>
  <sheetFormatPr defaultColWidth="11.85546875" defaultRowHeight="15.75" x14ac:dyDescent="0.25"/>
  <cols>
    <col min="1" max="1" width="7.42578125" style="1" customWidth="1"/>
    <col min="2" max="2" width="33.7109375" style="2" customWidth="1"/>
    <col min="3" max="3" width="11.42578125" style="3" customWidth="1"/>
    <col min="4" max="4" width="39.85546875" style="2" customWidth="1"/>
    <col min="5" max="5" width="11.28515625" style="3" customWidth="1"/>
    <col min="6" max="6" width="36.7109375" style="2" customWidth="1"/>
    <col min="7" max="7" width="22.28515625" style="2" bestFit="1" customWidth="1"/>
    <col min="8" max="8" width="7.7109375" style="2" bestFit="1" customWidth="1"/>
    <col min="9" max="9" width="9.140625" style="2" customWidth="1"/>
    <col min="10" max="10" width="11.85546875" style="2" bestFit="1" customWidth="1"/>
    <col min="11" max="11" width="11.85546875" style="4" bestFit="1" customWidth="1"/>
  </cols>
  <sheetData>
    <row r="2" spans="1:11" ht="45" x14ac:dyDescent="0.25">
      <c r="B2" s="5" t="s">
        <v>0</v>
      </c>
      <c r="D2" s="6" t="s">
        <v>132</v>
      </c>
      <c r="E2" s="7"/>
    </row>
    <row r="3" spans="1:11" x14ac:dyDescent="0.25">
      <c r="B3" s="5" t="s">
        <v>1</v>
      </c>
      <c r="D3" s="6" t="s">
        <v>2</v>
      </c>
      <c r="E3" s="7"/>
    </row>
    <row r="5" spans="1:11" s="8" customFormat="1" ht="30" x14ac:dyDescent="0.25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10"/>
      <c r="K5" s="10"/>
    </row>
    <row r="6" spans="1:11" s="11" customFormat="1" ht="30" x14ac:dyDescent="0.3">
      <c r="A6" s="13" t="s">
        <v>12</v>
      </c>
      <c r="B6" s="15" t="s">
        <v>13</v>
      </c>
      <c r="C6" s="13"/>
      <c r="D6" s="15"/>
      <c r="E6" s="13"/>
      <c r="F6" s="15"/>
      <c r="G6" s="15"/>
      <c r="H6" s="15"/>
      <c r="I6" s="18">
        <f>SUM(I7:I30)</f>
        <v>22</v>
      </c>
      <c r="J6" s="46">
        <v>14.5</v>
      </c>
      <c r="K6" s="22"/>
    </row>
    <row r="7" spans="1:11" x14ac:dyDescent="0.25">
      <c r="A7" s="12">
        <v>1</v>
      </c>
      <c r="B7" s="14" t="s">
        <v>16</v>
      </c>
      <c r="C7" s="14"/>
      <c r="D7" s="14"/>
      <c r="E7" s="14"/>
      <c r="F7" s="14"/>
      <c r="G7" s="14"/>
      <c r="H7" s="14"/>
      <c r="I7" s="14"/>
    </row>
    <row r="8" spans="1:11" ht="45" x14ac:dyDescent="0.25">
      <c r="A8" s="12"/>
      <c r="B8" s="14"/>
      <c r="C8" s="12" t="s">
        <v>17</v>
      </c>
      <c r="D8" s="41" t="s">
        <v>99</v>
      </c>
      <c r="E8" s="12"/>
      <c r="F8" s="14"/>
      <c r="G8" s="14"/>
      <c r="H8" s="12">
        <v>2</v>
      </c>
      <c r="I8" s="17">
        <v>2</v>
      </c>
      <c r="J8" s="2">
        <v>2</v>
      </c>
    </row>
    <row r="9" spans="1:11" ht="87.75" customHeight="1" x14ac:dyDescent="0.25">
      <c r="A9" s="12"/>
      <c r="B9" s="14"/>
      <c r="C9" s="12" t="s">
        <v>17</v>
      </c>
      <c r="D9" s="24" t="s">
        <v>100</v>
      </c>
      <c r="E9" s="12"/>
      <c r="F9" s="14"/>
      <c r="G9" s="14"/>
      <c r="H9" s="12">
        <v>2</v>
      </c>
      <c r="I9" s="17">
        <v>2</v>
      </c>
      <c r="J9" s="2">
        <v>2</v>
      </c>
    </row>
    <row r="10" spans="1:11" ht="84.2" customHeight="1" x14ac:dyDescent="0.25">
      <c r="A10" s="12"/>
      <c r="B10" s="14"/>
      <c r="C10" s="12" t="s">
        <v>17</v>
      </c>
      <c r="D10" s="42" t="s">
        <v>101</v>
      </c>
      <c r="E10" s="12"/>
      <c r="F10" s="14"/>
      <c r="G10" s="14"/>
      <c r="H10" s="12">
        <v>2</v>
      </c>
      <c r="I10" s="17">
        <v>1</v>
      </c>
      <c r="J10" s="2">
        <v>1</v>
      </c>
    </row>
    <row r="11" spans="1:11" ht="73.5" customHeight="1" x14ac:dyDescent="0.25">
      <c r="A11" s="12"/>
      <c r="B11" s="14"/>
      <c r="C11" s="12" t="s">
        <v>17</v>
      </c>
      <c r="D11" s="16" t="s">
        <v>102</v>
      </c>
      <c r="E11" s="12"/>
      <c r="F11" s="14"/>
      <c r="G11" s="14"/>
      <c r="H11" s="12">
        <v>2</v>
      </c>
      <c r="I11" s="17">
        <v>1</v>
      </c>
      <c r="J11" s="2">
        <v>1</v>
      </c>
    </row>
    <row r="12" spans="1:11" ht="75" x14ac:dyDescent="0.25">
      <c r="A12" s="12"/>
      <c r="B12" s="14"/>
      <c r="C12" s="12" t="s">
        <v>17</v>
      </c>
      <c r="D12" s="16" t="s">
        <v>103</v>
      </c>
      <c r="E12" s="12"/>
      <c r="F12" s="14"/>
      <c r="G12" s="14"/>
      <c r="H12" s="12">
        <v>2</v>
      </c>
      <c r="I12" s="17">
        <v>1</v>
      </c>
      <c r="J12" s="2">
        <v>1</v>
      </c>
    </row>
    <row r="13" spans="1:11" ht="30" x14ac:dyDescent="0.25">
      <c r="A13" s="12">
        <v>2</v>
      </c>
      <c r="B13" s="14" t="s">
        <v>22</v>
      </c>
      <c r="C13" s="14"/>
      <c r="D13" s="14"/>
      <c r="E13" s="14"/>
      <c r="F13" s="14"/>
      <c r="G13" s="14"/>
      <c r="H13" s="12"/>
      <c r="I13" s="14"/>
    </row>
    <row r="14" spans="1:11" ht="45" x14ac:dyDescent="0.25">
      <c r="A14" s="12"/>
      <c r="B14" s="14"/>
      <c r="C14" s="12" t="s">
        <v>17</v>
      </c>
      <c r="D14" s="14" t="s">
        <v>104</v>
      </c>
      <c r="E14" s="12"/>
      <c r="F14" s="14"/>
      <c r="G14" s="14"/>
      <c r="H14" s="12">
        <v>2</v>
      </c>
      <c r="I14" s="17">
        <v>2</v>
      </c>
      <c r="J14" s="2" t="s">
        <v>133</v>
      </c>
    </row>
    <row r="15" spans="1:11" ht="101.25" customHeight="1" x14ac:dyDescent="0.25">
      <c r="A15" s="12"/>
      <c r="B15" s="14"/>
      <c r="C15" s="12" t="s">
        <v>17</v>
      </c>
      <c r="D15" s="14" t="s">
        <v>105</v>
      </c>
      <c r="E15" s="12"/>
      <c r="F15" s="14"/>
      <c r="G15" s="14"/>
      <c r="H15" s="12">
        <v>2</v>
      </c>
      <c r="I15" s="17">
        <v>2</v>
      </c>
      <c r="J15" s="2" t="s">
        <v>133</v>
      </c>
    </row>
    <row r="16" spans="1:11" ht="87.2" customHeight="1" x14ac:dyDescent="0.25">
      <c r="A16" s="12"/>
      <c r="B16" s="14"/>
      <c r="C16" s="12" t="s">
        <v>17</v>
      </c>
      <c r="D16" s="41" t="s">
        <v>106</v>
      </c>
      <c r="E16" s="12"/>
      <c r="F16" s="14"/>
      <c r="G16" s="14"/>
      <c r="H16" s="12">
        <v>2</v>
      </c>
      <c r="I16" s="17">
        <v>1</v>
      </c>
      <c r="J16" s="2">
        <v>1</v>
      </c>
    </row>
    <row r="17" spans="1:11" ht="45" x14ac:dyDescent="0.25">
      <c r="A17" s="12">
        <v>3</v>
      </c>
      <c r="B17" s="14" t="s">
        <v>24</v>
      </c>
      <c r="C17" s="14"/>
      <c r="D17" s="14"/>
      <c r="E17" s="14"/>
      <c r="F17" s="14"/>
      <c r="G17" s="14"/>
      <c r="H17" s="12"/>
      <c r="I17" s="14"/>
    </row>
    <row r="18" spans="1:11" ht="60" x14ac:dyDescent="0.25">
      <c r="A18" s="12"/>
      <c r="B18" s="14"/>
      <c r="C18" s="19" t="s">
        <v>17</v>
      </c>
      <c r="D18" s="21" t="s">
        <v>107</v>
      </c>
      <c r="E18" s="19"/>
      <c r="F18" s="21"/>
      <c r="G18" s="21"/>
      <c r="H18" s="12">
        <v>2</v>
      </c>
      <c r="I18" s="23">
        <v>1</v>
      </c>
      <c r="J18" s="2" t="s">
        <v>133</v>
      </c>
    </row>
    <row r="19" spans="1:11" ht="90" x14ac:dyDescent="0.25">
      <c r="A19" s="25"/>
      <c r="B19" s="14"/>
      <c r="C19" s="19" t="s">
        <v>17</v>
      </c>
      <c r="D19" s="21" t="s">
        <v>108</v>
      </c>
      <c r="E19" s="19"/>
      <c r="F19" s="21"/>
      <c r="G19" s="21"/>
      <c r="H19" s="12">
        <v>2</v>
      </c>
      <c r="I19" s="23">
        <v>2</v>
      </c>
      <c r="J19" s="2" t="s">
        <v>135</v>
      </c>
    </row>
    <row r="20" spans="1:11" ht="30" x14ac:dyDescent="0.25">
      <c r="A20" s="12">
        <v>4</v>
      </c>
      <c r="B20" s="14" t="s">
        <v>26</v>
      </c>
      <c r="C20" s="14"/>
      <c r="D20" s="14"/>
      <c r="E20" s="14"/>
      <c r="F20" s="14"/>
      <c r="G20" s="14"/>
      <c r="H20" s="12"/>
      <c r="I20" s="14"/>
    </row>
    <row r="21" spans="1:11" ht="60" x14ac:dyDescent="0.25">
      <c r="A21" s="12"/>
      <c r="B21" s="14"/>
      <c r="C21" s="12" t="s">
        <v>17</v>
      </c>
      <c r="D21" s="14" t="s">
        <v>109</v>
      </c>
      <c r="E21" s="12"/>
      <c r="F21" s="14"/>
      <c r="G21" s="14"/>
      <c r="H21" s="12">
        <v>2</v>
      </c>
      <c r="I21" s="17">
        <v>0.5</v>
      </c>
      <c r="J21" s="2" t="s">
        <v>133</v>
      </c>
    </row>
    <row r="22" spans="1:11" s="26" customFormat="1" ht="60" x14ac:dyDescent="0.25">
      <c r="A22" s="12"/>
      <c r="B22" s="27"/>
      <c r="C22" s="12" t="s">
        <v>17</v>
      </c>
      <c r="D22" s="14" t="s">
        <v>110</v>
      </c>
      <c r="E22" s="12"/>
      <c r="F22" s="14"/>
      <c r="G22" s="14"/>
      <c r="H22" s="12">
        <v>2</v>
      </c>
      <c r="I22" s="17">
        <v>0.5</v>
      </c>
      <c r="J22" s="2" t="s">
        <v>133</v>
      </c>
      <c r="K22" s="2"/>
    </row>
    <row r="23" spans="1:11" ht="105" x14ac:dyDescent="0.25">
      <c r="A23" s="12"/>
      <c r="B23" s="14"/>
      <c r="C23" s="12" t="s">
        <v>17</v>
      </c>
      <c r="D23" s="14" t="s">
        <v>111</v>
      </c>
      <c r="E23" s="12"/>
      <c r="F23" s="14"/>
      <c r="G23" s="14"/>
      <c r="H23" s="12">
        <v>2</v>
      </c>
      <c r="I23" s="17">
        <v>0.5</v>
      </c>
      <c r="J23" s="2" t="s">
        <v>133</v>
      </c>
    </row>
    <row r="24" spans="1:11" ht="30" x14ac:dyDescent="0.25">
      <c r="A24" s="12">
        <v>5</v>
      </c>
      <c r="B24" s="14" t="s">
        <v>29</v>
      </c>
      <c r="C24" s="14"/>
      <c r="D24" s="14"/>
      <c r="E24" s="14"/>
      <c r="F24" s="14"/>
      <c r="G24" s="14"/>
      <c r="H24" s="12"/>
      <c r="I24" s="14"/>
    </row>
    <row r="25" spans="1:11" ht="120" x14ac:dyDescent="0.25">
      <c r="A25" s="12"/>
      <c r="B25" s="14"/>
      <c r="C25" s="12" t="s">
        <v>17</v>
      </c>
      <c r="D25" s="14" t="s">
        <v>112</v>
      </c>
      <c r="E25" s="14"/>
      <c r="F25" s="14"/>
      <c r="G25" s="14"/>
      <c r="H25" s="12">
        <v>2</v>
      </c>
      <c r="I25" s="17">
        <v>1</v>
      </c>
      <c r="J25" s="2">
        <v>1</v>
      </c>
    </row>
    <row r="26" spans="1:11" ht="45" x14ac:dyDescent="0.25">
      <c r="A26" s="12"/>
      <c r="B26" s="14"/>
      <c r="C26" s="12" t="s">
        <v>17</v>
      </c>
      <c r="D26" s="14" t="s">
        <v>113</v>
      </c>
      <c r="E26" s="14"/>
      <c r="F26" s="14"/>
      <c r="G26" s="14"/>
      <c r="H26" s="12">
        <v>2</v>
      </c>
      <c r="I26" s="17">
        <v>1</v>
      </c>
      <c r="J26" s="2">
        <v>1</v>
      </c>
    </row>
    <row r="27" spans="1:11" ht="60" x14ac:dyDescent="0.25">
      <c r="A27" s="12"/>
      <c r="B27" s="14"/>
      <c r="C27" s="12" t="s">
        <v>17</v>
      </c>
      <c r="D27" s="43" t="s">
        <v>114</v>
      </c>
      <c r="E27" s="12"/>
      <c r="F27" s="14"/>
      <c r="G27" s="14"/>
      <c r="H27" s="12">
        <v>2</v>
      </c>
      <c r="I27" s="17">
        <v>2</v>
      </c>
      <c r="J27" s="2">
        <v>2</v>
      </c>
    </row>
    <row r="28" spans="1:11" x14ac:dyDescent="0.25">
      <c r="A28" s="12">
        <v>6</v>
      </c>
      <c r="B28" s="14" t="s">
        <v>32</v>
      </c>
      <c r="C28" s="19"/>
      <c r="D28" s="21"/>
      <c r="E28" s="19"/>
      <c r="F28" s="21"/>
      <c r="G28" s="21"/>
      <c r="H28" s="12"/>
      <c r="I28" s="23"/>
    </row>
    <row r="29" spans="1:11" x14ac:dyDescent="0.25">
      <c r="A29" s="12"/>
      <c r="B29" s="14"/>
      <c r="C29" s="12" t="s">
        <v>17</v>
      </c>
      <c r="D29" s="14" t="s">
        <v>31</v>
      </c>
      <c r="E29" s="12"/>
      <c r="F29" s="14"/>
      <c r="G29" s="14"/>
      <c r="H29" s="12">
        <v>1</v>
      </c>
      <c r="I29" s="17">
        <v>0.5</v>
      </c>
      <c r="J29" s="2" t="s">
        <v>134</v>
      </c>
    </row>
    <row r="30" spans="1:11" ht="135" x14ac:dyDescent="0.25">
      <c r="A30" s="12"/>
      <c r="B30" s="14"/>
      <c r="C30" s="12" t="s">
        <v>33</v>
      </c>
      <c r="D30" s="14" t="s">
        <v>35</v>
      </c>
      <c r="E30" s="12"/>
      <c r="F30" s="14"/>
      <c r="G30" s="14"/>
      <c r="H30" s="12">
        <v>1</v>
      </c>
      <c r="I30" s="17">
        <v>1</v>
      </c>
    </row>
    <row r="31" spans="1:11" ht="30" x14ac:dyDescent="0.25">
      <c r="A31" s="12"/>
      <c r="B31" s="14"/>
      <c r="C31" s="12"/>
      <c r="D31" s="14"/>
      <c r="E31" s="12">
        <v>0</v>
      </c>
      <c r="F31" s="16" t="s">
        <v>34</v>
      </c>
      <c r="G31" s="14"/>
      <c r="H31" s="12"/>
      <c r="I31" s="17"/>
    </row>
    <row r="32" spans="1:11" ht="30" x14ac:dyDescent="0.25">
      <c r="A32" s="12"/>
      <c r="B32" s="14"/>
      <c r="C32" s="12"/>
      <c r="D32" s="14"/>
      <c r="E32" s="12">
        <v>1</v>
      </c>
      <c r="F32" s="16" t="s">
        <v>14</v>
      </c>
      <c r="G32" s="14"/>
      <c r="H32" s="12"/>
      <c r="I32" s="17"/>
    </row>
    <row r="33" spans="1:11" ht="30" x14ac:dyDescent="0.25">
      <c r="A33" s="12"/>
      <c r="B33" s="14"/>
      <c r="C33" s="19"/>
      <c r="D33" s="21"/>
      <c r="E33" s="19">
        <v>2</v>
      </c>
      <c r="F33" s="16" t="s">
        <v>15</v>
      </c>
      <c r="G33" s="21"/>
      <c r="H33" s="12"/>
      <c r="I33" s="23"/>
    </row>
    <row r="34" spans="1:11" ht="30" x14ac:dyDescent="0.25">
      <c r="A34" s="12"/>
      <c r="B34" s="14"/>
      <c r="C34" s="12"/>
      <c r="D34" s="14"/>
      <c r="E34" s="12">
        <v>3</v>
      </c>
      <c r="F34" s="16" t="s">
        <v>18</v>
      </c>
      <c r="G34" s="14"/>
      <c r="H34" s="12"/>
      <c r="I34" s="17"/>
    </row>
    <row r="35" spans="1:11" x14ac:dyDescent="0.25">
      <c r="A35" s="12"/>
      <c r="B35" s="14"/>
      <c r="C35" s="12"/>
      <c r="D35" s="29"/>
      <c r="E35" s="12"/>
      <c r="F35" s="14"/>
      <c r="G35" s="14"/>
      <c r="H35" s="12"/>
      <c r="I35" s="17"/>
    </row>
    <row r="36" spans="1:11" s="11" customFormat="1" ht="18.75" x14ac:dyDescent="0.3">
      <c r="A36" s="13" t="s">
        <v>38</v>
      </c>
      <c r="B36" s="15" t="s">
        <v>39</v>
      </c>
      <c r="C36" s="13"/>
      <c r="D36" s="15"/>
      <c r="E36" s="13"/>
      <c r="F36" s="15"/>
      <c r="G36" s="15"/>
      <c r="H36" s="13"/>
      <c r="I36" s="18">
        <f>SUM(I37:I64)</f>
        <v>20.5</v>
      </c>
      <c r="J36" s="20">
        <v>12</v>
      </c>
      <c r="K36" s="22"/>
    </row>
    <row r="37" spans="1:11" ht="30" x14ac:dyDescent="0.25">
      <c r="A37" s="12">
        <v>1</v>
      </c>
      <c r="B37" s="14" t="s">
        <v>41</v>
      </c>
      <c r="C37" s="19"/>
      <c r="D37" s="21"/>
      <c r="E37" s="19"/>
      <c r="F37" s="21"/>
      <c r="G37" s="21"/>
      <c r="H37" s="12"/>
      <c r="I37" s="23"/>
    </row>
    <row r="38" spans="1:11" ht="30" x14ac:dyDescent="0.25">
      <c r="A38" s="12"/>
      <c r="B38" s="14"/>
      <c r="C38" s="30" t="s">
        <v>17</v>
      </c>
      <c r="D38" s="31" t="s">
        <v>42</v>
      </c>
      <c r="E38" s="19"/>
      <c r="F38" s="21"/>
      <c r="G38" s="21"/>
      <c r="H38" s="12">
        <v>4</v>
      </c>
      <c r="I38" s="23">
        <v>1</v>
      </c>
      <c r="J38" s="2">
        <v>1</v>
      </c>
    </row>
    <row r="39" spans="1:11" ht="28.5" customHeight="1" x14ac:dyDescent="0.25">
      <c r="A39" s="12"/>
      <c r="B39" s="14"/>
      <c r="C39" s="30" t="s">
        <v>17</v>
      </c>
      <c r="D39" s="31" t="s">
        <v>43</v>
      </c>
      <c r="E39" s="19"/>
      <c r="F39" s="21"/>
      <c r="G39" s="21"/>
      <c r="H39" s="12">
        <v>3</v>
      </c>
      <c r="I39" s="23">
        <v>1</v>
      </c>
      <c r="J39" s="2">
        <v>1</v>
      </c>
    </row>
    <row r="40" spans="1:11" ht="48.6" customHeight="1" x14ac:dyDescent="0.25">
      <c r="A40" s="12"/>
      <c r="B40" s="14"/>
      <c r="C40" s="30" t="s">
        <v>17</v>
      </c>
      <c r="D40" s="32" t="s">
        <v>44</v>
      </c>
      <c r="E40" s="19"/>
      <c r="F40" s="21"/>
      <c r="G40" s="21"/>
      <c r="H40" s="12">
        <v>3</v>
      </c>
      <c r="I40" s="23">
        <v>1</v>
      </c>
      <c r="J40" s="2">
        <v>1</v>
      </c>
    </row>
    <row r="41" spans="1:11" ht="27.75" customHeight="1" x14ac:dyDescent="0.25">
      <c r="A41" s="12"/>
      <c r="B41" s="14"/>
      <c r="C41" s="30" t="s">
        <v>17</v>
      </c>
      <c r="D41" s="32" t="s">
        <v>115</v>
      </c>
      <c r="E41" s="19"/>
      <c r="F41" s="21"/>
      <c r="G41" s="21"/>
      <c r="H41" s="12">
        <v>3</v>
      </c>
      <c r="I41" s="23">
        <v>1</v>
      </c>
      <c r="J41" s="47" t="s">
        <v>133</v>
      </c>
    </row>
    <row r="42" spans="1:11" ht="30" x14ac:dyDescent="0.25">
      <c r="A42" s="12">
        <v>2</v>
      </c>
      <c r="B42" s="14" t="s">
        <v>45</v>
      </c>
      <c r="C42" s="30"/>
      <c r="D42" s="32"/>
      <c r="E42" s="19"/>
      <c r="F42" s="21"/>
      <c r="G42" s="21"/>
      <c r="H42" s="12"/>
      <c r="I42" s="23"/>
    </row>
    <row r="43" spans="1:11" ht="45" x14ac:dyDescent="0.25">
      <c r="A43" s="12"/>
      <c r="B43" s="14"/>
      <c r="C43" s="30" t="s">
        <v>17</v>
      </c>
      <c r="D43" s="32" t="s">
        <v>116</v>
      </c>
      <c r="E43" s="19"/>
      <c r="F43" s="21"/>
      <c r="G43" s="21"/>
      <c r="H43" s="12">
        <v>3</v>
      </c>
      <c r="I43" s="23">
        <v>1</v>
      </c>
      <c r="J43" s="2">
        <v>1</v>
      </c>
    </row>
    <row r="44" spans="1:11" ht="60" x14ac:dyDescent="0.25">
      <c r="A44" s="12"/>
      <c r="B44" s="14"/>
      <c r="C44" s="30" t="s">
        <v>17</v>
      </c>
      <c r="D44" s="32" t="s">
        <v>117</v>
      </c>
      <c r="E44" s="19"/>
      <c r="F44" s="21"/>
      <c r="G44" s="21"/>
      <c r="H44" s="12">
        <v>3</v>
      </c>
      <c r="I44" s="23">
        <v>1</v>
      </c>
      <c r="J44" s="2" t="s">
        <v>133</v>
      </c>
    </row>
    <row r="45" spans="1:11" ht="44.25" customHeight="1" x14ac:dyDescent="0.25">
      <c r="A45" s="12"/>
      <c r="B45" s="14"/>
      <c r="C45" s="30" t="s">
        <v>17</v>
      </c>
      <c r="D45" s="31" t="s">
        <v>118</v>
      </c>
      <c r="E45" s="19"/>
      <c r="F45" s="21"/>
      <c r="G45" s="21"/>
      <c r="H45" s="12">
        <v>3</v>
      </c>
      <c r="I45" s="23">
        <v>1</v>
      </c>
      <c r="J45" s="2">
        <v>1</v>
      </c>
    </row>
    <row r="46" spans="1:11" ht="45" x14ac:dyDescent="0.25">
      <c r="A46" s="12"/>
      <c r="B46" s="14"/>
      <c r="C46" s="33" t="s">
        <v>17</v>
      </c>
      <c r="D46" s="31" t="s">
        <v>119</v>
      </c>
      <c r="E46" s="19"/>
      <c r="F46" s="21"/>
      <c r="G46" s="21"/>
      <c r="H46" s="12">
        <v>3</v>
      </c>
      <c r="I46" s="23">
        <v>1</v>
      </c>
      <c r="J46" s="2" t="s">
        <v>133</v>
      </c>
    </row>
    <row r="47" spans="1:11" ht="75" x14ac:dyDescent="0.25">
      <c r="A47" s="12"/>
      <c r="B47" s="14"/>
      <c r="C47" s="30" t="s">
        <v>17</v>
      </c>
      <c r="D47" s="31" t="s">
        <v>120</v>
      </c>
      <c r="E47" s="19"/>
      <c r="F47" s="21"/>
      <c r="G47" s="21"/>
      <c r="H47" s="12">
        <v>3</v>
      </c>
      <c r="I47" s="23">
        <v>1</v>
      </c>
      <c r="J47" s="2">
        <v>1</v>
      </c>
    </row>
    <row r="48" spans="1:11" ht="75" x14ac:dyDescent="0.25">
      <c r="A48" s="12"/>
      <c r="B48" s="14"/>
      <c r="C48" s="33" t="s">
        <v>17</v>
      </c>
      <c r="D48" s="31" t="s">
        <v>121</v>
      </c>
      <c r="E48" s="19"/>
      <c r="F48" s="21"/>
      <c r="G48" s="21"/>
      <c r="H48" s="12">
        <v>3</v>
      </c>
      <c r="I48" s="23">
        <v>1</v>
      </c>
      <c r="J48" s="2" t="s">
        <v>133</v>
      </c>
    </row>
    <row r="49" spans="1:10" x14ac:dyDescent="0.25">
      <c r="A49" s="12">
        <v>3</v>
      </c>
      <c r="B49" s="14" t="s">
        <v>48</v>
      </c>
      <c r="C49" s="14"/>
      <c r="D49" s="14"/>
      <c r="E49" s="14"/>
      <c r="F49" s="14"/>
      <c r="G49" s="14"/>
      <c r="H49" s="12"/>
      <c r="I49" s="14"/>
    </row>
    <row r="50" spans="1:10" ht="60" x14ac:dyDescent="0.25">
      <c r="A50" s="12"/>
      <c r="B50" s="14"/>
      <c r="C50" s="12" t="s">
        <v>17</v>
      </c>
      <c r="D50" s="41" t="s">
        <v>122</v>
      </c>
      <c r="E50" s="12"/>
      <c r="F50" s="14"/>
      <c r="G50" s="14"/>
      <c r="H50" s="12">
        <v>3</v>
      </c>
      <c r="I50" s="17">
        <v>2</v>
      </c>
      <c r="J50" s="2">
        <v>2</v>
      </c>
    </row>
    <row r="51" spans="1:10" ht="59.1" customHeight="1" x14ac:dyDescent="0.25">
      <c r="A51" s="12"/>
      <c r="B51" s="14"/>
      <c r="C51" s="12" t="s">
        <v>17</v>
      </c>
      <c r="D51" s="41" t="s">
        <v>123</v>
      </c>
      <c r="E51" s="12"/>
      <c r="F51" s="14"/>
      <c r="G51" s="14"/>
      <c r="H51" s="12">
        <v>3</v>
      </c>
      <c r="I51" s="17">
        <v>2</v>
      </c>
      <c r="J51" s="2">
        <v>2</v>
      </c>
    </row>
    <row r="52" spans="1:10" ht="45" x14ac:dyDescent="0.25">
      <c r="A52" s="12"/>
      <c r="B52" s="14"/>
      <c r="C52" s="12" t="s">
        <v>17</v>
      </c>
      <c r="D52" s="41" t="s">
        <v>124</v>
      </c>
      <c r="E52" s="12"/>
      <c r="F52" s="14"/>
      <c r="G52" s="14"/>
      <c r="H52" s="12">
        <v>3</v>
      </c>
      <c r="I52" s="17">
        <v>2</v>
      </c>
      <c r="J52" s="2" t="s">
        <v>133</v>
      </c>
    </row>
    <row r="53" spans="1:10" ht="30" x14ac:dyDescent="0.25">
      <c r="A53" s="12">
        <v>4</v>
      </c>
      <c r="B53" s="14" t="s">
        <v>53</v>
      </c>
      <c r="C53" s="12"/>
      <c r="D53" s="14"/>
      <c r="E53" s="12"/>
      <c r="F53" s="14"/>
      <c r="G53" s="14"/>
      <c r="H53" s="12"/>
      <c r="I53" s="17"/>
    </row>
    <row r="54" spans="1:10" ht="30" x14ac:dyDescent="0.25">
      <c r="A54" s="12"/>
      <c r="B54" s="14"/>
      <c r="C54" s="12" t="s">
        <v>17</v>
      </c>
      <c r="D54" s="14" t="s">
        <v>125</v>
      </c>
      <c r="E54" s="12"/>
      <c r="F54" s="14"/>
      <c r="G54" s="14"/>
      <c r="H54" s="12">
        <v>3</v>
      </c>
      <c r="I54" s="17">
        <v>1</v>
      </c>
      <c r="J54" s="2">
        <v>1</v>
      </c>
    </row>
    <row r="55" spans="1:10" ht="31.15" customHeight="1" x14ac:dyDescent="0.25">
      <c r="A55" s="12"/>
      <c r="B55" s="14"/>
      <c r="C55" s="12" t="s">
        <v>17</v>
      </c>
      <c r="D55" s="14" t="s">
        <v>126</v>
      </c>
      <c r="E55" s="12"/>
      <c r="F55" s="14"/>
      <c r="G55" s="14"/>
      <c r="H55" s="12">
        <v>3</v>
      </c>
      <c r="I55" s="17">
        <v>1</v>
      </c>
      <c r="J55" s="2">
        <v>1</v>
      </c>
    </row>
    <row r="56" spans="1:10" ht="45" x14ac:dyDescent="0.25">
      <c r="A56" s="12"/>
      <c r="B56" s="14"/>
      <c r="C56" s="12" t="s">
        <v>17</v>
      </c>
      <c r="D56" s="14" t="s">
        <v>127</v>
      </c>
      <c r="E56" s="12"/>
      <c r="F56" s="14"/>
      <c r="G56" s="14"/>
      <c r="H56" s="12">
        <v>3</v>
      </c>
      <c r="I56" s="17">
        <v>1</v>
      </c>
      <c r="J56" s="2" t="s">
        <v>133</v>
      </c>
    </row>
    <row r="57" spans="1:10" x14ac:dyDescent="0.25">
      <c r="A57" s="12">
        <v>5</v>
      </c>
      <c r="B57" s="14" t="s">
        <v>58</v>
      </c>
      <c r="C57" s="19"/>
      <c r="D57" s="21"/>
      <c r="E57" s="19"/>
      <c r="F57" s="21"/>
      <c r="G57" s="21"/>
      <c r="H57" s="12"/>
      <c r="I57" s="23"/>
    </row>
    <row r="58" spans="1:10" x14ac:dyDescent="0.25">
      <c r="A58" s="12"/>
      <c r="B58" s="14"/>
      <c r="C58" s="12" t="s">
        <v>17</v>
      </c>
      <c r="D58" s="14" t="s">
        <v>31</v>
      </c>
      <c r="E58" s="12"/>
      <c r="F58" s="14"/>
      <c r="G58" s="14"/>
      <c r="H58" s="12">
        <v>1</v>
      </c>
      <c r="I58" s="17">
        <v>0.5</v>
      </c>
      <c r="J58" s="2">
        <v>0.5</v>
      </c>
    </row>
    <row r="59" spans="1:10" ht="105" x14ac:dyDescent="0.25">
      <c r="A59" s="12"/>
      <c r="B59" s="14"/>
      <c r="C59" s="12" t="s">
        <v>33</v>
      </c>
      <c r="D59" s="41" t="s">
        <v>128</v>
      </c>
      <c r="E59" s="12"/>
      <c r="F59" s="14"/>
      <c r="G59" s="14"/>
      <c r="H59" s="12">
        <v>1</v>
      </c>
      <c r="I59" s="17">
        <v>1</v>
      </c>
    </row>
    <row r="60" spans="1:10" ht="30" x14ac:dyDescent="0.25">
      <c r="A60" s="12"/>
      <c r="B60" s="14"/>
      <c r="C60" s="12"/>
      <c r="D60" s="14"/>
      <c r="E60" s="12">
        <v>0</v>
      </c>
      <c r="F60" s="16" t="s">
        <v>34</v>
      </c>
      <c r="G60" s="14"/>
      <c r="H60" s="12"/>
      <c r="I60" s="17"/>
    </row>
    <row r="61" spans="1:10" ht="30" x14ac:dyDescent="0.25">
      <c r="A61" s="12"/>
      <c r="B61" s="14"/>
      <c r="C61" s="12"/>
      <c r="D61" s="14"/>
      <c r="E61" s="12">
        <v>1</v>
      </c>
      <c r="F61" s="16" t="s">
        <v>14</v>
      </c>
      <c r="G61" s="14"/>
      <c r="H61" s="12"/>
      <c r="I61" s="17"/>
    </row>
    <row r="62" spans="1:10" ht="30" x14ac:dyDescent="0.25">
      <c r="A62" s="12"/>
      <c r="B62" s="14"/>
      <c r="C62" s="19"/>
      <c r="D62" s="21"/>
      <c r="E62" s="19">
        <v>2</v>
      </c>
      <c r="F62" s="16" t="s">
        <v>15</v>
      </c>
      <c r="G62" s="21"/>
      <c r="H62" s="12"/>
      <c r="I62" s="23"/>
    </row>
    <row r="63" spans="1:10" ht="30" x14ac:dyDescent="0.25">
      <c r="A63" s="12"/>
      <c r="B63" s="14"/>
      <c r="C63" s="12"/>
      <c r="D63" s="14"/>
      <c r="E63" s="12">
        <v>3</v>
      </c>
      <c r="F63" s="16" t="s">
        <v>18</v>
      </c>
      <c r="G63" s="14"/>
      <c r="H63" s="12"/>
      <c r="I63" s="17"/>
    </row>
    <row r="64" spans="1:10" x14ac:dyDescent="0.25">
      <c r="A64" s="12"/>
      <c r="B64" s="14"/>
      <c r="C64" s="12"/>
      <c r="D64" s="14"/>
      <c r="E64" s="12"/>
      <c r="F64" s="14"/>
      <c r="G64" s="14"/>
      <c r="H64" s="12"/>
      <c r="I64" s="17"/>
    </row>
    <row r="65" spans="1:11" s="11" customFormat="1" ht="30" x14ac:dyDescent="0.3">
      <c r="A65" s="13" t="s">
        <v>19</v>
      </c>
      <c r="B65" s="15" t="s">
        <v>20</v>
      </c>
      <c r="C65" s="13"/>
      <c r="D65" s="15"/>
      <c r="E65" s="13"/>
      <c r="F65" s="15"/>
      <c r="G65" s="15"/>
      <c r="H65" s="13"/>
      <c r="I65" s="18">
        <f>SUM(I66:I89)</f>
        <v>20.5</v>
      </c>
      <c r="J65" s="20"/>
      <c r="K65" s="22"/>
    </row>
    <row r="66" spans="1:11" x14ac:dyDescent="0.25">
      <c r="A66" s="12">
        <v>1</v>
      </c>
      <c r="B66" s="14" t="s">
        <v>21</v>
      </c>
      <c r="C66" s="12"/>
      <c r="D66" s="14"/>
      <c r="E66" s="12"/>
      <c r="F66" s="14"/>
      <c r="G66" s="14"/>
      <c r="H66" s="12"/>
      <c r="I66" s="17"/>
    </row>
    <row r="67" spans="1:11" ht="45" x14ac:dyDescent="0.25">
      <c r="A67" s="12"/>
      <c r="B67" s="14"/>
      <c r="C67" s="12" t="s">
        <v>17</v>
      </c>
      <c r="D67" s="39" t="s">
        <v>73</v>
      </c>
      <c r="E67" s="12"/>
      <c r="F67" s="14"/>
      <c r="G67" s="14"/>
      <c r="H67" s="12">
        <v>3</v>
      </c>
      <c r="I67" s="17">
        <v>1.5</v>
      </c>
    </row>
    <row r="68" spans="1:11" ht="50.25" customHeight="1" x14ac:dyDescent="0.25">
      <c r="A68" s="12"/>
      <c r="B68" s="14"/>
      <c r="C68" s="19" t="s">
        <v>17</v>
      </c>
      <c r="D68" s="39" t="s">
        <v>74</v>
      </c>
      <c r="E68" s="19"/>
      <c r="F68" s="21"/>
      <c r="G68" s="21"/>
      <c r="H68" s="12">
        <v>3</v>
      </c>
      <c r="I68" s="23">
        <v>1.5</v>
      </c>
    </row>
    <row r="69" spans="1:11" ht="30" x14ac:dyDescent="0.25">
      <c r="A69" s="12"/>
      <c r="B69" s="14"/>
      <c r="C69" s="19" t="s">
        <v>17</v>
      </c>
      <c r="D69" s="39" t="s">
        <v>75</v>
      </c>
      <c r="E69" s="19"/>
      <c r="F69" s="21"/>
      <c r="G69" s="21"/>
      <c r="H69" s="12">
        <v>3</v>
      </c>
      <c r="I69" s="23">
        <v>1.5</v>
      </c>
    </row>
    <row r="70" spans="1:11" ht="45" x14ac:dyDescent="0.25">
      <c r="A70" s="12"/>
      <c r="B70" s="14"/>
      <c r="C70" s="12" t="s">
        <v>17</v>
      </c>
      <c r="D70" s="40" t="s">
        <v>76</v>
      </c>
      <c r="E70" s="12"/>
      <c r="F70" s="14"/>
      <c r="G70" s="14"/>
      <c r="H70" s="12">
        <v>3</v>
      </c>
      <c r="I70" s="17">
        <v>2</v>
      </c>
    </row>
    <row r="71" spans="1:11" ht="30" x14ac:dyDescent="0.25">
      <c r="A71" s="12">
        <v>2</v>
      </c>
      <c r="B71" s="14" t="s">
        <v>23</v>
      </c>
      <c r="C71" s="14"/>
      <c r="D71" s="14"/>
      <c r="E71" s="14"/>
      <c r="F71" s="14"/>
      <c r="G71" s="14"/>
      <c r="H71" s="12"/>
      <c r="I71" s="14"/>
    </row>
    <row r="72" spans="1:11" ht="30" x14ac:dyDescent="0.25">
      <c r="A72" s="12"/>
      <c r="B72" s="14"/>
      <c r="C72" s="12" t="s">
        <v>17</v>
      </c>
      <c r="D72" s="14" t="s">
        <v>25</v>
      </c>
      <c r="E72" s="12"/>
      <c r="F72" s="14"/>
      <c r="G72" s="14"/>
      <c r="H72" s="12">
        <v>3</v>
      </c>
      <c r="I72" s="17">
        <v>2</v>
      </c>
    </row>
    <row r="73" spans="1:11" ht="30" x14ac:dyDescent="0.25">
      <c r="A73" s="12"/>
      <c r="B73" s="14"/>
      <c r="C73" s="12" t="s">
        <v>17</v>
      </c>
      <c r="D73" s="14" t="s">
        <v>129</v>
      </c>
      <c r="E73" s="12"/>
      <c r="F73" s="14"/>
      <c r="G73" s="14"/>
      <c r="H73" s="12">
        <v>3</v>
      </c>
      <c r="I73" s="17">
        <v>1.5</v>
      </c>
    </row>
    <row r="74" spans="1:11" ht="30" x14ac:dyDescent="0.25">
      <c r="A74" s="12"/>
      <c r="B74" s="14"/>
      <c r="C74" s="12" t="s">
        <v>17</v>
      </c>
      <c r="D74" s="14" t="s">
        <v>77</v>
      </c>
      <c r="E74" s="12"/>
      <c r="F74" s="14"/>
      <c r="G74" s="14"/>
      <c r="H74" s="12">
        <v>3</v>
      </c>
      <c r="I74" s="17">
        <v>1.5</v>
      </c>
    </row>
    <row r="75" spans="1:11" ht="30" x14ac:dyDescent="0.25">
      <c r="A75" s="12"/>
      <c r="B75" s="14"/>
      <c r="C75" s="12" t="s">
        <v>17</v>
      </c>
      <c r="D75" s="14" t="s">
        <v>27</v>
      </c>
      <c r="E75" s="12"/>
      <c r="F75" s="14"/>
      <c r="G75" s="14"/>
      <c r="H75" s="12">
        <v>3</v>
      </c>
      <c r="I75" s="17">
        <v>1</v>
      </c>
    </row>
    <row r="76" spans="1:11" x14ac:dyDescent="0.25">
      <c r="A76" s="12">
        <v>3</v>
      </c>
      <c r="B76" s="14" t="s">
        <v>28</v>
      </c>
      <c r="C76" s="14"/>
      <c r="D76" s="14"/>
      <c r="E76" s="14"/>
      <c r="F76" s="14"/>
      <c r="G76" s="14"/>
      <c r="H76" s="12"/>
      <c r="I76" s="14"/>
    </row>
    <row r="77" spans="1:11" ht="120" x14ac:dyDescent="0.25">
      <c r="A77" s="12"/>
      <c r="B77" s="14"/>
      <c r="C77" s="19" t="s">
        <v>17</v>
      </c>
      <c r="D77" s="21" t="s">
        <v>78</v>
      </c>
      <c r="E77" s="19"/>
      <c r="F77" s="14"/>
      <c r="G77" s="21"/>
      <c r="H77" s="12">
        <v>3</v>
      </c>
      <c r="I77" s="23">
        <v>2</v>
      </c>
    </row>
    <row r="78" spans="1:11" ht="30" x14ac:dyDescent="0.25">
      <c r="A78" s="12"/>
      <c r="B78" s="14"/>
      <c r="C78" s="12" t="s">
        <v>17</v>
      </c>
      <c r="D78" s="14" t="s">
        <v>79</v>
      </c>
      <c r="E78" s="12"/>
      <c r="F78" s="14"/>
      <c r="G78" s="14"/>
      <c r="H78" s="12">
        <v>3</v>
      </c>
      <c r="I78" s="17">
        <v>2</v>
      </c>
    </row>
    <row r="79" spans="1:11" ht="30" x14ac:dyDescent="0.25">
      <c r="A79" s="12">
        <v>4</v>
      </c>
      <c r="B79" s="14" t="s">
        <v>80</v>
      </c>
      <c r="C79" s="12"/>
      <c r="D79" s="14"/>
      <c r="E79" s="12"/>
      <c r="F79" s="14"/>
      <c r="G79" s="14"/>
      <c r="H79" s="12"/>
      <c r="I79" s="17"/>
    </row>
    <row r="80" spans="1:11" ht="45" x14ac:dyDescent="0.25">
      <c r="A80" s="12"/>
      <c r="B80" s="14"/>
      <c r="C80" s="12" t="s">
        <v>17</v>
      </c>
      <c r="D80" s="14" t="s">
        <v>82</v>
      </c>
      <c r="E80" s="12"/>
      <c r="F80" s="14"/>
      <c r="G80" s="14"/>
      <c r="H80" s="12">
        <v>3</v>
      </c>
      <c r="I80" s="17">
        <v>1</v>
      </c>
    </row>
    <row r="81" spans="1:11" ht="42" customHeight="1" x14ac:dyDescent="0.25">
      <c r="A81" s="12"/>
      <c r="B81" s="14"/>
      <c r="C81" s="12" t="s">
        <v>17</v>
      </c>
      <c r="D81" s="14" t="s">
        <v>81</v>
      </c>
      <c r="E81" s="12"/>
      <c r="F81" s="14"/>
      <c r="G81" s="14"/>
      <c r="H81" s="12">
        <v>3</v>
      </c>
      <c r="I81" s="17">
        <v>1.5</v>
      </c>
    </row>
    <row r="82" spans="1:11" x14ac:dyDescent="0.25">
      <c r="A82" s="12">
        <v>5</v>
      </c>
      <c r="B82" s="14" t="s">
        <v>30</v>
      </c>
      <c r="C82" s="19"/>
      <c r="D82" s="21"/>
      <c r="E82" s="19"/>
      <c r="F82" s="21"/>
      <c r="G82" s="21"/>
      <c r="H82" s="12"/>
      <c r="I82" s="23"/>
    </row>
    <row r="83" spans="1:11" x14ac:dyDescent="0.25">
      <c r="A83" s="12"/>
      <c r="B83" s="14"/>
      <c r="C83" s="12" t="s">
        <v>17</v>
      </c>
      <c r="D83" s="14" t="s">
        <v>31</v>
      </c>
      <c r="E83" s="12"/>
      <c r="F83" s="14"/>
      <c r="G83" s="14"/>
      <c r="H83" s="12">
        <v>1</v>
      </c>
      <c r="I83" s="17">
        <v>0.5</v>
      </c>
    </row>
    <row r="84" spans="1:11" ht="90" x14ac:dyDescent="0.25">
      <c r="A84" s="12"/>
      <c r="B84" s="14"/>
      <c r="C84" s="12" t="s">
        <v>33</v>
      </c>
      <c r="D84" s="14" t="s">
        <v>83</v>
      </c>
      <c r="E84" s="12"/>
      <c r="F84" s="14"/>
      <c r="G84" s="14"/>
      <c r="H84" s="12">
        <v>1</v>
      </c>
      <c r="I84" s="17">
        <v>1</v>
      </c>
    </row>
    <row r="85" spans="1:11" ht="30" x14ac:dyDescent="0.25">
      <c r="A85" s="12"/>
      <c r="B85" s="14"/>
      <c r="C85" s="12"/>
      <c r="D85" s="14"/>
      <c r="E85" s="12">
        <v>0</v>
      </c>
      <c r="F85" s="16" t="s">
        <v>34</v>
      </c>
      <c r="G85" s="14"/>
      <c r="H85" s="12"/>
      <c r="I85" s="17"/>
    </row>
    <row r="86" spans="1:11" ht="30" x14ac:dyDescent="0.25">
      <c r="A86" s="12"/>
      <c r="B86" s="14"/>
      <c r="C86" s="12"/>
      <c r="D86" s="14"/>
      <c r="E86" s="12">
        <v>1</v>
      </c>
      <c r="F86" s="16" t="s">
        <v>14</v>
      </c>
      <c r="G86" s="14"/>
      <c r="H86" s="12"/>
      <c r="I86" s="17"/>
    </row>
    <row r="87" spans="1:11" ht="30" x14ac:dyDescent="0.25">
      <c r="A87" s="12"/>
      <c r="B87" s="14"/>
      <c r="C87" s="19"/>
      <c r="D87" s="21"/>
      <c r="E87" s="19">
        <v>2</v>
      </c>
      <c r="F87" s="16" t="s">
        <v>15</v>
      </c>
      <c r="G87" s="21"/>
      <c r="H87" s="12"/>
      <c r="I87" s="23"/>
    </row>
    <row r="88" spans="1:11" ht="30" x14ac:dyDescent="0.25">
      <c r="A88" s="12"/>
      <c r="B88" s="14"/>
      <c r="C88" s="12"/>
      <c r="D88" s="14"/>
      <c r="E88" s="12">
        <v>3</v>
      </c>
      <c r="F88" s="16" t="s">
        <v>18</v>
      </c>
      <c r="G88" s="14"/>
      <c r="H88" s="12"/>
      <c r="I88" s="17"/>
    </row>
    <row r="89" spans="1:11" x14ac:dyDescent="0.25">
      <c r="A89" s="28"/>
      <c r="B89" s="14"/>
      <c r="C89" s="12"/>
      <c r="D89" s="14"/>
      <c r="E89" s="12"/>
      <c r="F89" s="14"/>
      <c r="G89" s="14"/>
      <c r="H89" s="14"/>
      <c r="I89" s="17"/>
    </row>
    <row r="90" spans="1:11" s="11" customFormat="1" ht="18.75" x14ac:dyDescent="0.3">
      <c r="A90" s="13" t="s">
        <v>36</v>
      </c>
      <c r="B90" s="15" t="s">
        <v>37</v>
      </c>
      <c r="C90" s="13"/>
      <c r="D90" s="15"/>
      <c r="E90" s="13"/>
      <c r="F90" s="15"/>
      <c r="G90" s="15"/>
      <c r="H90" s="15"/>
      <c r="I90" s="18">
        <f>SUM(I91:I105)</f>
        <v>19</v>
      </c>
      <c r="J90" s="20"/>
      <c r="K90" s="22"/>
    </row>
    <row r="91" spans="1:11" x14ac:dyDescent="0.25">
      <c r="A91" s="12">
        <v>1</v>
      </c>
      <c r="B91" s="14" t="s">
        <v>40</v>
      </c>
      <c r="C91" s="14"/>
      <c r="D91" s="14"/>
      <c r="E91" s="14"/>
      <c r="F91" s="14"/>
      <c r="G91" s="14"/>
      <c r="H91" s="14"/>
      <c r="I91" s="14"/>
    </row>
    <row r="92" spans="1:11" x14ac:dyDescent="0.25">
      <c r="A92" s="12"/>
      <c r="B92" s="14"/>
      <c r="C92" s="12" t="s">
        <v>17</v>
      </c>
      <c r="D92" s="14" t="s">
        <v>86</v>
      </c>
      <c r="E92" s="12"/>
      <c r="F92" s="14"/>
      <c r="G92" s="14"/>
      <c r="H92" s="12">
        <v>4</v>
      </c>
      <c r="I92" s="17">
        <v>1</v>
      </c>
    </row>
    <row r="93" spans="1:11" ht="30" x14ac:dyDescent="0.25">
      <c r="A93" s="12"/>
      <c r="B93" s="14"/>
      <c r="C93" s="12" t="s">
        <v>17</v>
      </c>
      <c r="D93" s="14" t="s">
        <v>84</v>
      </c>
      <c r="E93" s="12"/>
      <c r="F93" s="14"/>
      <c r="G93" s="14"/>
      <c r="H93" s="12">
        <v>5</v>
      </c>
      <c r="I93" s="17">
        <v>1</v>
      </c>
    </row>
    <row r="94" spans="1:11" ht="30" x14ac:dyDescent="0.25">
      <c r="A94" s="12"/>
      <c r="B94" s="14"/>
      <c r="C94" s="12" t="s">
        <v>17</v>
      </c>
      <c r="D94" s="14" t="s">
        <v>85</v>
      </c>
      <c r="E94" s="12"/>
      <c r="F94" s="14"/>
      <c r="G94" s="14"/>
      <c r="H94" s="12">
        <v>5</v>
      </c>
      <c r="I94" s="17">
        <v>1</v>
      </c>
    </row>
    <row r="95" spans="1:11" ht="30" x14ac:dyDescent="0.25">
      <c r="A95" s="12">
        <v>2</v>
      </c>
      <c r="B95" s="14" t="s">
        <v>91</v>
      </c>
      <c r="C95" s="14"/>
      <c r="D95" s="14"/>
      <c r="E95" s="14"/>
      <c r="F95" s="14"/>
      <c r="G95" s="14"/>
      <c r="H95" s="12"/>
      <c r="I95" s="14"/>
    </row>
    <row r="96" spans="1:11" ht="66" customHeight="1" x14ac:dyDescent="0.25">
      <c r="A96" s="12"/>
      <c r="B96" s="14"/>
      <c r="C96" s="12" t="s">
        <v>17</v>
      </c>
      <c r="D96" s="14" t="s">
        <v>130</v>
      </c>
      <c r="E96" s="12"/>
      <c r="F96" s="14"/>
      <c r="G96" s="14"/>
      <c r="H96" s="12">
        <v>4</v>
      </c>
      <c r="I96" s="17">
        <v>2</v>
      </c>
    </row>
    <row r="97" spans="1:11" ht="77.25" customHeight="1" x14ac:dyDescent="0.25">
      <c r="A97" s="12"/>
      <c r="B97" s="14"/>
      <c r="C97" s="12" t="s">
        <v>17</v>
      </c>
      <c r="D97" s="14" t="s">
        <v>88</v>
      </c>
      <c r="E97" s="12"/>
      <c r="F97" s="14"/>
      <c r="G97" s="14"/>
      <c r="H97" s="12">
        <v>4</v>
      </c>
      <c r="I97" s="17">
        <v>2</v>
      </c>
    </row>
    <row r="98" spans="1:11" ht="60" x14ac:dyDescent="0.25">
      <c r="A98" s="12"/>
      <c r="B98" s="14"/>
      <c r="C98" s="12" t="s">
        <v>17</v>
      </c>
      <c r="D98" s="14" t="s">
        <v>89</v>
      </c>
      <c r="E98" s="14"/>
      <c r="F98" s="14"/>
      <c r="G98" s="14"/>
      <c r="H98" s="12">
        <v>4</v>
      </c>
      <c r="I98" s="17">
        <v>2</v>
      </c>
    </row>
    <row r="99" spans="1:11" ht="54.75" customHeight="1" x14ac:dyDescent="0.25">
      <c r="A99" s="12"/>
      <c r="B99" s="14"/>
      <c r="C99" s="12" t="s">
        <v>17</v>
      </c>
      <c r="D99" s="21" t="s">
        <v>90</v>
      </c>
      <c r="E99" s="12"/>
      <c r="F99" s="14"/>
      <c r="G99" s="14"/>
      <c r="H99" s="12">
        <v>4</v>
      </c>
      <c r="I99" s="17">
        <v>2</v>
      </c>
    </row>
    <row r="100" spans="1:11" ht="69.75" customHeight="1" x14ac:dyDescent="0.25">
      <c r="A100" s="12"/>
      <c r="B100" s="14"/>
      <c r="C100" s="19" t="s">
        <v>17</v>
      </c>
      <c r="D100" s="21" t="s">
        <v>92</v>
      </c>
      <c r="E100" s="19"/>
      <c r="F100" s="21"/>
      <c r="G100" s="21"/>
      <c r="H100" s="12">
        <v>4</v>
      </c>
      <c r="I100" s="23">
        <v>2</v>
      </c>
    </row>
    <row r="101" spans="1:11" ht="45" x14ac:dyDescent="0.25">
      <c r="A101" s="12"/>
      <c r="B101" s="14"/>
      <c r="C101" s="19" t="s">
        <v>17</v>
      </c>
      <c r="D101" s="21" t="s">
        <v>93</v>
      </c>
      <c r="E101" s="19"/>
      <c r="F101" s="21"/>
      <c r="G101" s="21"/>
      <c r="H101" s="12">
        <v>4</v>
      </c>
      <c r="I101" s="23">
        <v>2</v>
      </c>
    </row>
    <row r="102" spans="1:11" ht="30" x14ac:dyDescent="0.25">
      <c r="A102" s="12">
        <v>3</v>
      </c>
      <c r="B102" s="14" t="s">
        <v>46</v>
      </c>
      <c r="C102" s="19"/>
      <c r="D102" s="21"/>
      <c r="E102" s="19"/>
      <c r="F102" s="21"/>
      <c r="G102" s="21"/>
      <c r="H102" s="12"/>
      <c r="I102" s="23"/>
    </row>
    <row r="103" spans="1:11" ht="60" x14ac:dyDescent="0.25">
      <c r="A103" s="12"/>
      <c r="B103" s="14"/>
      <c r="C103" s="19" t="s">
        <v>17</v>
      </c>
      <c r="D103" s="21" t="s">
        <v>87</v>
      </c>
      <c r="E103" s="19"/>
      <c r="F103" s="21"/>
      <c r="G103" s="21"/>
      <c r="H103" s="12">
        <v>5</v>
      </c>
      <c r="I103" s="23">
        <v>2</v>
      </c>
    </row>
    <row r="104" spans="1:11" ht="60" x14ac:dyDescent="0.25">
      <c r="A104" s="12"/>
      <c r="B104" s="14"/>
      <c r="C104" s="19" t="s">
        <v>17</v>
      </c>
      <c r="D104" s="21" t="s">
        <v>47</v>
      </c>
      <c r="E104" s="19"/>
      <c r="F104" s="21"/>
      <c r="G104" s="21"/>
      <c r="H104" s="12">
        <v>5</v>
      </c>
      <c r="I104" s="23">
        <v>2</v>
      </c>
    </row>
    <row r="105" spans="1:11" x14ac:dyDescent="0.25">
      <c r="A105" s="28"/>
      <c r="B105" s="14"/>
      <c r="C105" s="12"/>
      <c r="D105" s="14"/>
      <c r="E105" s="12"/>
      <c r="F105" s="14"/>
      <c r="G105" s="14"/>
      <c r="H105" s="12"/>
      <c r="I105" s="14"/>
    </row>
    <row r="106" spans="1:11" s="11" customFormat="1" ht="18.75" x14ac:dyDescent="0.3">
      <c r="A106" s="13" t="s">
        <v>49</v>
      </c>
      <c r="B106" s="15" t="s">
        <v>50</v>
      </c>
      <c r="C106" s="13"/>
      <c r="D106" s="15"/>
      <c r="E106" s="13"/>
      <c r="F106" s="15"/>
      <c r="G106" s="15"/>
      <c r="H106" s="15"/>
      <c r="I106" s="18">
        <f>SUM(I108:I123)</f>
        <v>18</v>
      </c>
      <c r="J106" s="20"/>
      <c r="K106" s="22"/>
    </row>
    <row r="107" spans="1:11" ht="30" x14ac:dyDescent="0.25">
      <c r="A107" s="12">
        <v>1</v>
      </c>
      <c r="B107" s="14" t="s">
        <v>51</v>
      </c>
      <c r="C107" s="12"/>
      <c r="D107" s="14"/>
      <c r="E107" s="12"/>
      <c r="F107" s="16"/>
      <c r="G107" s="14"/>
      <c r="H107" s="12"/>
      <c r="I107" s="17"/>
    </row>
    <row r="108" spans="1:11" ht="60" x14ac:dyDescent="0.25">
      <c r="A108" s="12"/>
      <c r="B108" s="14"/>
      <c r="C108" s="12" t="s">
        <v>17</v>
      </c>
      <c r="D108" s="14" t="s">
        <v>52</v>
      </c>
      <c r="E108" s="12"/>
      <c r="F108" s="16"/>
      <c r="G108" s="14"/>
      <c r="H108" s="12">
        <v>1</v>
      </c>
      <c r="I108" s="17">
        <v>2</v>
      </c>
    </row>
    <row r="109" spans="1:11" ht="30" x14ac:dyDescent="0.25">
      <c r="A109" s="12"/>
      <c r="B109" s="14"/>
      <c r="C109" s="12" t="s">
        <v>17</v>
      </c>
      <c r="D109" s="14" t="s">
        <v>97</v>
      </c>
      <c r="E109" s="12"/>
      <c r="F109" s="16"/>
      <c r="G109" s="14"/>
      <c r="H109" s="12">
        <v>6</v>
      </c>
      <c r="I109" s="17">
        <v>2</v>
      </c>
    </row>
    <row r="110" spans="1:11" ht="45" x14ac:dyDescent="0.25">
      <c r="A110" s="12"/>
      <c r="B110" s="14"/>
      <c r="C110" s="12" t="s">
        <v>17</v>
      </c>
      <c r="D110" s="14" t="s">
        <v>54</v>
      </c>
      <c r="E110" s="12"/>
      <c r="F110" s="14"/>
      <c r="G110" s="14"/>
      <c r="H110" s="12">
        <v>6</v>
      </c>
      <c r="I110" s="17">
        <v>2</v>
      </c>
    </row>
    <row r="111" spans="1:11" x14ac:dyDescent="0.25">
      <c r="A111" s="12">
        <v>2</v>
      </c>
      <c r="B111" s="14" t="s">
        <v>55</v>
      </c>
      <c r="C111" s="12"/>
      <c r="D111" s="14"/>
      <c r="E111" s="12"/>
      <c r="F111" s="14"/>
      <c r="G111" s="14"/>
      <c r="H111" s="12"/>
      <c r="I111" s="17"/>
    </row>
    <row r="112" spans="1:11" ht="45" x14ac:dyDescent="0.25">
      <c r="A112" s="12"/>
      <c r="B112" s="14"/>
      <c r="C112" s="12" t="s">
        <v>17</v>
      </c>
      <c r="D112" s="14" t="s">
        <v>131</v>
      </c>
      <c r="E112" s="12"/>
      <c r="F112" s="14"/>
      <c r="G112" s="14"/>
      <c r="H112" s="12">
        <v>1</v>
      </c>
      <c r="I112" s="17">
        <v>2</v>
      </c>
    </row>
    <row r="113" spans="1:9" x14ac:dyDescent="0.25">
      <c r="A113" s="12"/>
      <c r="B113" s="14"/>
      <c r="C113" s="12" t="s">
        <v>17</v>
      </c>
      <c r="D113" s="14" t="s">
        <v>56</v>
      </c>
      <c r="E113" s="12"/>
      <c r="F113" s="14"/>
      <c r="G113" s="14"/>
      <c r="H113" s="12">
        <v>6</v>
      </c>
      <c r="I113" s="17">
        <v>1</v>
      </c>
    </row>
    <row r="114" spans="1:9" ht="30" x14ac:dyDescent="0.25">
      <c r="A114" s="12"/>
      <c r="B114" s="14"/>
      <c r="C114" s="19" t="s">
        <v>33</v>
      </c>
      <c r="D114" s="21" t="s">
        <v>57</v>
      </c>
      <c r="E114" s="19"/>
      <c r="F114" s="21"/>
      <c r="G114" s="21"/>
      <c r="H114" s="12">
        <v>1</v>
      </c>
      <c r="I114" s="23">
        <v>2</v>
      </c>
    </row>
    <row r="115" spans="1:9" ht="45" x14ac:dyDescent="0.25">
      <c r="A115" s="12"/>
      <c r="B115" s="14"/>
      <c r="C115" s="12"/>
      <c r="D115" s="14"/>
      <c r="E115" s="12">
        <v>0</v>
      </c>
      <c r="F115" s="14" t="s">
        <v>59</v>
      </c>
      <c r="G115" s="14"/>
      <c r="H115" s="12"/>
      <c r="I115" s="17"/>
    </row>
    <row r="116" spans="1:9" ht="30" x14ac:dyDescent="0.25">
      <c r="A116" s="12"/>
      <c r="B116" s="14"/>
      <c r="C116" s="12"/>
      <c r="D116" s="14"/>
      <c r="E116" s="12">
        <v>1</v>
      </c>
      <c r="F116" s="14" t="s">
        <v>60</v>
      </c>
      <c r="G116" s="14"/>
      <c r="H116" s="12"/>
      <c r="I116" s="17"/>
    </row>
    <row r="117" spans="1:9" ht="30" x14ac:dyDescent="0.25">
      <c r="A117" s="12"/>
      <c r="B117" s="14"/>
      <c r="C117" s="12"/>
      <c r="D117" s="14"/>
      <c r="E117" s="12">
        <v>2</v>
      </c>
      <c r="F117" s="16" t="s">
        <v>61</v>
      </c>
      <c r="G117" s="14"/>
      <c r="H117" s="12"/>
      <c r="I117" s="17"/>
    </row>
    <row r="118" spans="1:9" ht="30" x14ac:dyDescent="0.25">
      <c r="A118" s="12"/>
      <c r="B118" s="14"/>
      <c r="C118" s="12"/>
      <c r="D118" s="14"/>
      <c r="E118" s="12">
        <v>3</v>
      </c>
      <c r="F118" s="16" t="s">
        <v>62</v>
      </c>
      <c r="G118" s="14"/>
      <c r="H118" s="12"/>
      <c r="I118" s="17"/>
    </row>
    <row r="119" spans="1:9" ht="30" x14ac:dyDescent="0.25">
      <c r="A119" s="12">
        <v>3</v>
      </c>
      <c r="B119" s="14" t="s">
        <v>63</v>
      </c>
      <c r="C119" s="14"/>
      <c r="D119" s="14"/>
      <c r="E119" s="14"/>
      <c r="F119" s="14"/>
      <c r="G119" s="14"/>
      <c r="H119" s="12"/>
      <c r="I119" s="17"/>
    </row>
    <row r="120" spans="1:9" ht="30" x14ac:dyDescent="0.25">
      <c r="A120" s="12"/>
      <c r="B120" s="14"/>
      <c r="C120" s="12" t="s">
        <v>17</v>
      </c>
      <c r="D120" s="16" t="s">
        <v>94</v>
      </c>
      <c r="E120" s="12"/>
      <c r="F120" s="14"/>
      <c r="G120" s="14"/>
      <c r="H120" s="12">
        <v>7</v>
      </c>
      <c r="I120" s="17">
        <v>1</v>
      </c>
    </row>
    <row r="121" spans="1:9" ht="30" x14ac:dyDescent="0.25">
      <c r="A121" s="12"/>
      <c r="B121" s="14"/>
      <c r="C121" s="12" t="s">
        <v>17</v>
      </c>
      <c r="D121" s="16" t="s">
        <v>98</v>
      </c>
      <c r="E121" s="12"/>
      <c r="F121" s="14"/>
      <c r="G121" s="14"/>
      <c r="H121" s="12">
        <v>7</v>
      </c>
      <c r="I121" s="17">
        <v>2</v>
      </c>
    </row>
    <row r="122" spans="1:9" ht="45" x14ac:dyDescent="0.25">
      <c r="A122" s="12"/>
      <c r="B122" s="14"/>
      <c r="C122" s="19" t="s">
        <v>17</v>
      </c>
      <c r="D122" s="16" t="s">
        <v>95</v>
      </c>
      <c r="E122" s="19"/>
      <c r="F122" s="21"/>
      <c r="G122" s="21"/>
      <c r="H122" s="12">
        <v>7</v>
      </c>
      <c r="I122" s="23">
        <v>2</v>
      </c>
    </row>
    <row r="123" spans="1:9" ht="45" x14ac:dyDescent="0.25">
      <c r="A123" s="12"/>
      <c r="B123" s="14"/>
      <c r="C123" s="12" t="s">
        <v>17</v>
      </c>
      <c r="D123" s="14" t="s">
        <v>96</v>
      </c>
      <c r="E123" s="12"/>
      <c r="F123" s="16"/>
      <c r="G123" s="14"/>
      <c r="H123" s="12">
        <v>1</v>
      </c>
      <c r="I123" s="17">
        <v>2</v>
      </c>
    </row>
    <row r="124" spans="1:9" x14ac:dyDescent="0.25">
      <c r="A124" s="28"/>
      <c r="B124" s="14"/>
      <c r="C124" s="12"/>
      <c r="D124" s="14"/>
      <c r="E124" s="12"/>
      <c r="F124" s="14"/>
      <c r="G124" s="14"/>
      <c r="H124" s="14"/>
      <c r="I124" s="14"/>
    </row>
    <row r="125" spans="1:9" x14ac:dyDescent="0.25">
      <c r="G125" s="34" t="s">
        <v>64</v>
      </c>
      <c r="H125" s="34"/>
      <c r="I125" s="35">
        <f>I6+I36+I65+I90+I106</f>
        <v>100</v>
      </c>
    </row>
  </sheetData>
  <pageMargins left="0.70000004768371582" right="0.70000004768371582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G22" sqref="G22"/>
    </sheetView>
  </sheetViews>
  <sheetFormatPr defaultColWidth="11.85546875" defaultRowHeight="15.75" x14ac:dyDescent="0.25"/>
  <cols>
    <col min="2" max="2" width="61.7109375" style="26" customWidth="1"/>
  </cols>
  <sheetData>
    <row r="1" spans="1:2" ht="27.95" customHeight="1" x14ac:dyDescent="0.25">
      <c r="A1" s="44" t="s">
        <v>65</v>
      </c>
      <c r="B1" s="45"/>
    </row>
    <row r="2" spans="1:2" x14ac:dyDescent="0.25">
      <c r="A2" s="36">
        <v>1</v>
      </c>
      <c r="B2" s="37" t="s">
        <v>66</v>
      </c>
    </row>
    <row r="3" spans="1:2" x14ac:dyDescent="0.25">
      <c r="A3" s="36">
        <v>2</v>
      </c>
      <c r="B3" s="37" t="s">
        <v>67</v>
      </c>
    </row>
    <row r="4" spans="1:2" x14ac:dyDescent="0.25">
      <c r="A4" s="36">
        <v>3</v>
      </c>
      <c r="B4" s="37" t="s">
        <v>68</v>
      </c>
    </row>
    <row r="5" spans="1:2" x14ac:dyDescent="0.25">
      <c r="A5" s="36">
        <v>4</v>
      </c>
      <c r="B5" s="37" t="s">
        <v>69</v>
      </c>
    </row>
    <row r="6" spans="1:2" x14ac:dyDescent="0.25">
      <c r="A6" s="36">
        <v>5</v>
      </c>
      <c r="B6" s="38" t="s">
        <v>70</v>
      </c>
    </row>
    <row r="7" spans="1:2" x14ac:dyDescent="0.25">
      <c r="A7" s="36">
        <v>6</v>
      </c>
      <c r="B7" s="38" t="s">
        <v>71</v>
      </c>
    </row>
    <row r="8" spans="1:2" x14ac:dyDescent="0.25">
      <c r="A8" s="36">
        <v>7</v>
      </c>
      <c r="B8" s="38" t="s">
        <v>72</v>
      </c>
    </row>
  </sheetData>
  <mergeCells count="1">
    <mergeCell ref="A1:B1"/>
  </mergeCells>
  <pageMargins left="0.70000004768371582" right="0.70000004768371582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Критерии оценки</vt:lpstr>
      <vt:lpstr>Перечень профессиональных задач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MO1TE</cp:lastModifiedBy>
  <dcterms:created xsi:type="dcterms:W3CDTF">2025-09-05T00:34:02Z</dcterms:created>
  <dcterms:modified xsi:type="dcterms:W3CDTF">2026-04-14T20:12:31Z</dcterms:modified>
</cp:coreProperties>
</file>